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oice" sheetId="1" state="visible" r:id="rId3"/>
    <sheet name="BusinessDetails" sheetId="2" state="visible" r:id="rId4"/>
    <sheet name="Masters" sheetId="3" state="visible" r:id="rId5"/>
    <sheet name="Instruc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Dropdown: pick a GST preset. CGST/SGST/IGST rates and Scheme auto-update. Inter-State presets use IGST; Intra-State use CGST+SGST; Composition charges no GST to customer.</t>
        </r>
      </text>
    </comment>
  </commentList>
</comments>
</file>

<file path=xl/sharedStrings.xml><?xml version="1.0" encoding="utf-8"?>
<sst xmlns="http://schemas.openxmlformats.org/spreadsheetml/2006/main" count="252" uniqueCount="186">
  <si>
    <t xml:space="preserve">TAX INVOICE</t>
  </si>
  <si>
    <t xml:space="preserve">GST RATE PRESET (select once — all tax logic updates automatically)</t>
  </si>
  <si>
    <t xml:space="preserve">Select Preset →</t>
  </si>
  <si>
    <t xml:space="preserve">Regular 18% (Inter-State IGST)</t>
  </si>
  <si>
    <t xml:space="preserve">Scheme</t>
  </si>
  <si>
    <t xml:space="preserve">CGST %</t>
  </si>
  <si>
    <t xml:space="preserve">SGST %</t>
  </si>
  <si>
    <t xml:space="preserve">IGST %</t>
  </si>
  <si>
    <t xml:space="preserve">SUPPLIER</t>
  </si>
  <si>
    <t xml:space="preserve">RECIPIENT / BILL TO</t>
  </si>
  <si>
    <t xml:space="preserve">Invoice No:</t>
  </si>
  <si>
    <t xml:space="preserve">Date:</t>
  </si>
  <si>
    <t xml:space="preserve">Due:</t>
  </si>
  <si>
    <t xml:space="preserve">PO:</t>
  </si>
  <si>
    <t xml:space="preserve">Place of Supply:</t>
  </si>
  <si>
    <t xml:space="preserve">Supply Type:</t>
  </si>
  <si>
    <t xml:space="preserve">Reverse Charge:</t>
  </si>
  <si>
    <t xml:space="preserve">LINE ITEMS — Select service/product from dropdown (or CUSTOM). Only Qty is entered; all else auto-fills.</t>
  </si>
  <si>
    <t xml:space="preserve">#</t>
  </si>
  <si>
    <t xml:space="preserve">Service / Product (select)</t>
  </si>
  <si>
    <t xml:space="preserve">SAC/HSN</t>
  </si>
  <si>
    <t xml:space="preserve">Qty</t>
  </si>
  <si>
    <t xml:space="preserve">Unit</t>
  </si>
  <si>
    <t xml:space="preserve">Rate (₹)</t>
  </si>
  <si>
    <t xml:space="preserve">Amount (₹)</t>
  </si>
  <si>
    <t xml:space="preserve">Mode</t>
  </si>
  <si>
    <t xml:space="preserve">Enterprise Cloud Migration Assessment</t>
  </si>
  <si>
    <t xml:space="preserve">Security &amp; Compliance Review</t>
  </si>
  <si>
    <t xml:space="preserve">Data Architecture Design Workshop</t>
  </si>
  <si>
    <t xml:space="preserve">Implementation Support Retainer</t>
  </si>
  <si>
    <t xml:space="preserve">CUSTOM MODE: Select "&lt;&lt; CUSTOM ENTRY &gt;&gt;" in Service column, then type SAC, Unit and Rate directly over the gray cells (replace formula). Qty remains the only required input for catalog items.</t>
  </si>
  <si>
    <t xml:space="preserve">BANK DETAILS</t>
  </si>
  <si>
    <t xml:space="preserve">Taxable Value</t>
  </si>
  <si>
    <t xml:space="preserve">CGST</t>
  </si>
  <si>
    <t xml:space="preserve">SGST</t>
  </si>
  <si>
    <t xml:space="preserve">IGST</t>
  </si>
  <si>
    <t xml:space="preserve">Total Tax</t>
  </si>
  <si>
    <t xml:space="preserve">GRAND TOTAL</t>
  </si>
  <si>
    <t xml:space="preserve">PAYMENT TERMS</t>
  </si>
  <si>
    <t xml:space="preserve">Payment due within 30 days (Net 30). Quote Invoice No. on remittance. Late payments attract interest @ 18% p.a. under MSMED Act if applicable. This document is generated under CGST/IGST Acts. All amounts in INR.</t>
  </si>
  <si>
    <t xml:space="preserve">AUTHORIZATION</t>
  </si>
  <si>
    <t xml:space="preserve">For Supplier: ____________________  Name / Title / Date</t>
  </si>
  <si>
    <t xml:space="preserve">For Recipient: ____________________  Name / Title / Date</t>
  </si>
  <si>
    <t xml:space="preserve">How to use: 1) Edit BusinessDetails sheet for names/addresses. 2) Select GST Rate Preset (B5). 3) Select services from dropdown in col B. 4) Enter Qty only. 5) For custom items select &lt;&lt; CUSTOM ENTRY &gt;&gt; and overwrite SAC/Unit/Rate.</t>
  </si>
  <si>
    <t xml:space="preserve">EDITABLE BUSINESS DETAILS</t>
  </si>
  <si>
    <t xml:space="preserve">Yellow cells = edit these. Changes flow automatically to the Invoice sheet.</t>
  </si>
  <si>
    <t xml:space="preserve">SUPPLIER (Your Company)</t>
  </si>
  <si>
    <t xml:space="preserve">Company Name</t>
  </si>
  <si>
    <t xml:space="preserve">Apex Consulting Group</t>
  </si>
  <si>
    <t xml:space="preserve">GSTIN</t>
  </si>
  <si>
    <t xml:space="preserve">27AABCA1234D1Z5</t>
  </si>
  <si>
    <t xml:space="preserve">PAN</t>
  </si>
  <si>
    <t xml:space="preserve">AABCA1234D</t>
  </si>
  <si>
    <t xml:space="preserve">State Code</t>
  </si>
  <si>
    <t xml:space="preserve">27</t>
  </si>
  <si>
    <t xml:space="preserve">State Name</t>
  </si>
  <si>
    <t xml:space="preserve">Maharashtra</t>
  </si>
  <si>
    <t xml:space="preserve">Address Line 1</t>
  </si>
  <si>
    <t xml:space="preserve">12th Floor, One World Centre, Senapati Bapat Marg</t>
  </si>
  <si>
    <t xml:space="preserve">Address Line 2</t>
  </si>
  <si>
    <t xml:space="preserve">Lower Parel, Mumbai, Maharashtra 400013</t>
  </si>
  <si>
    <t xml:space="preserve">Phone</t>
  </si>
  <si>
    <t xml:space="preserve">+91 22 6123 4500</t>
  </si>
  <si>
    <t xml:space="preserve">Email</t>
  </si>
  <si>
    <t xml:space="preserve">billing@apexconsulting.in</t>
  </si>
  <si>
    <t xml:space="preserve">Bank Name</t>
  </si>
  <si>
    <t xml:space="preserve">HDFC Bank Ltd.</t>
  </si>
  <si>
    <t xml:space="preserve">Account Name</t>
  </si>
  <si>
    <t xml:space="preserve">Account No</t>
  </si>
  <si>
    <t xml:space="preserve">502000********21</t>
  </si>
  <si>
    <t xml:space="preserve">IFSC</t>
  </si>
  <si>
    <t xml:space="preserve">HDFC0000123</t>
  </si>
  <si>
    <t xml:space="preserve">Branch</t>
  </si>
  <si>
    <t xml:space="preserve">Lower Parel, Mumbai</t>
  </si>
  <si>
    <t xml:space="preserve">UPI</t>
  </si>
  <si>
    <t xml:space="preserve">apex.billing@hdfcbank</t>
  </si>
  <si>
    <t xml:space="preserve">RECIPIENT (Customer)</t>
  </si>
  <si>
    <t xml:space="preserve">Meridian Technologies Pvt. Ltd.</t>
  </si>
  <si>
    <t xml:space="preserve">33AADCM9876K1Z2</t>
  </si>
  <si>
    <t xml:space="preserve">AADCM9876K</t>
  </si>
  <si>
    <t xml:space="preserve">33</t>
  </si>
  <si>
    <t xml:space="preserve">Tamil Nadu</t>
  </si>
  <si>
    <t xml:space="preserve">No. 42, Rajiv Gandhi Salai (OMR)</t>
  </si>
  <si>
    <t xml:space="preserve">Thoraipakkam, Chennai, Tamil Nadu 600097</t>
  </si>
  <si>
    <t xml:space="preserve">Contact / Attn</t>
  </si>
  <si>
    <t xml:space="preserve">Accounts Payable</t>
  </si>
  <si>
    <t xml:space="preserve">INVOICE META (Editable)</t>
  </si>
  <si>
    <t xml:space="preserve">Invoice No</t>
  </si>
  <si>
    <t xml:space="preserve">INV-2026-0918</t>
  </si>
  <si>
    <t xml:space="preserve">Invoice Date</t>
  </si>
  <si>
    <t xml:space="preserve">18-Sep-2026</t>
  </si>
  <si>
    <t xml:space="preserve">Due Date</t>
  </si>
  <si>
    <t xml:space="preserve">18-Oct-2026</t>
  </si>
  <si>
    <t xml:space="preserve">PO / Reference</t>
  </si>
  <si>
    <t xml:space="preserve">PO-88421-A</t>
  </si>
  <si>
    <t xml:space="preserve">Reverse Charge</t>
  </si>
  <si>
    <t xml:space="preserve">No</t>
  </si>
  <si>
    <t xml:space="preserve">MASTERS — Do not delete rows. Add new services/products below.</t>
  </si>
  <si>
    <t xml:space="preserve">SERVICE / PRODUCT CATALOG</t>
  </si>
  <si>
    <t xml:space="preserve">Code</t>
  </si>
  <si>
    <t xml:space="preserve">Description</t>
  </si>
  <si>
    <t xml:space="preserve">Type</t>
  </si>
  <si>
    <t xml:space="preserve">Active</t>
  </si>
  <si>
    <t xml:space="preserve">SVC-001</t>
  </si>
  <si>
    <t xml:space="preserve">Service</t>
  </si>
  <si>
    <t xml:space="preserve">998311</t>
  </si>
  <si>
    <t xml:space="preserve">Project</t>
  </si>
  <si>
    <t xml:space="preserve">Yes</t>
  </si>
  <si>
    <t xml:space="preserve">SVC-002</t>
  </si>
  <si>
    <t xml:space="preserve">Hours</t>
  </si>
  <si>
    <t xml:space="preserve">SVC-003</t>
  </si>
  <si>
    <t xml:space="preserve">Days</t>
  </si>
  <si>
    <t xml:space="preserve">SVC-004</t>
  </si>
  <si>
    <t xml:space="preserve">998314</t>
  </si>
  <si>
    <t xml:space="preserve">Months</t>
  </si>
  <si>
    <t xml:space="preserve">SVC-005</t>
  </si>
  <si>
    <t xml:space="preserve">IT Infrastructure Audit</t>
  </si>
  <si>
    <t xml:space="preserve">SVC-006</t>
  </si>
  <si>
    <t xml:space="preserve">Cloud Cost Optimization</t>
  </si>
  <si>
    <t xml:space="preserve">SVC-007</t>
  </si>
  <si>
    <t xml:space="preserve">DevOps Pipeline Setup</t>
  </si>
  <si>
    <t xml:space="preserve">SVC-008</t>
  </si>
  <si>
    <t xml:space="preserve">Managed Support (Monthly)</t>
  </si>
  <si>
    <t xml:space="preserve">PRD-001</t>
  </si>
  <si>
    <t xml:space="preserve">Software License - Enterprise</t>
  </si>
  <si>
    <t xml:space="preserve">Product</t>
  </si>
  <si>
    <t xml:space="preserve">8523</t>
  </si>
  <si>
    <t xml:space="preserve">License</t>
  </si>
  <si>
    <t xml:space="preserve">PRD-002</t>
  </si>
  <si>
    <t xml:space="preserve">Hardware Appliance - Firewall</t>
  </si>
  <si>
    <t xml:space="preserve">8517</t>
  </si>
  <si>
    <t xml:space="preserve">CUSTOM</t>
  </si>
  <si>
    <t xml:space="preserve">&lt;&lt; CUSTOM ENTRY &gt;&gt;</t>
  </si>
  <si>
    <t xml:space="preserve">Custom</t>
  </si>
  <si>
    <t xml:space="preserve">GST RATE PRESETS (click one on Invoice sheet — single selection drives all tax logic)</t>
  </si>
  <si>
    <t xml:space="preserve">Preset Name</t>
  </si>
  <si>
    <t xml:space="preserve">REGULAR</t>
  </si>
  <si>
    <t xml:space="preserve">Regular 18% (Intra-State CGST+SGST)</t>
  </si>
  <si>
    <t xml:space="preserve">Regular 12% (Inter-State IGST)</t>
  </si>
  <si>
    <t xml:space="preserve">Regular 12% (Intra-State CGST+SGST)</t>
  </si>
  <si>
    <t xml:space="preserve">Regular 5% (Inter-State IGST)</t>
  </si>
  <si>
    <t xml:space="preserve">Regular 5% (Intra-State CGST+SGST)</t>
  </si>
  <si>
    <t xml:space="preserve">Regular 28% (Inter-State IGST)</t>
  </si>
  <si>
    <t xml:space="preserve">Regular 28% (Intra-State CGST+SGST)</t>
  </si>
  <si>
    <t xml:space="preserve">Composition 6% (Services)</t>
  </si>
  <si>
    <t xml:space="preserve">COMPOSITION</t>
  </si>
  <si>
    <t xml:space="preserve">Composition 1% (Traders)</t>
  </si>
  <si>
    <t xml:space="preserve">Composition 5% (Restaurants)</t>
  </si>
  <si>
    <t xml:space="preserve">Exempt / Nil Rated</t>
  </si>
  <si>
    <t xml:space="preserve">Units list (for Custom mode)</t>
  </si>
  <si>
    <t xml:space="preserve">Nos</t>
  </si>
  <si>
    <t xml:space="preserve">Kg</t>
  </si>
  <si>
    <t xml:space="preserve">Litre</t>
  </si>
  <si>
    <t xml:space="preserve">Set</t>
  </si>
  <si>
    <t xml:space="preserve">HOW TO USE THIS GST INVOICE WORKBOOK</t>
  </si>
  <si>
    <t xml:space="preserve">1. BUSINESS DETAILS (Sheet: BusinessDetails)</t>
  </si>
  <si>
    <t xml:space="preserve">   • Edit all yellow cells: company name, GSTIN, address, bank, customer details, invoice number/dates.</t>
  </si>
  <si>
    <t xml:space="preserve">   • Changes automatically appear on the Invoice sheet.</t>
  </si>
  <si>
    <t xml:space="preserve">2. GST RATE PRESET (Invoice sheet, cell B5) — SINGLE CLICK</t>
  </si>
  <si>
    <t xml:space="preserve">   • Click the yellow cell B5 and pick a preset from the dropdown.</t>
  </si>
  <si>
    <t xml:space="preserve">   • Options cover Regular 5%/12%/18%/28% (Inter-State IGST or Intra-State CGST+SGST),</t>
  </si>
  <si>
    <t xml:space="preserve">     Composition schemes (6%/1%/5%), and Exempt.</t>
  </si>
  <si>
    <t xml:space="preserve">   • Selecting a preset auto-updates Scheme, CGST%, SGST%, IGST% and recalculates all tax lines.</t>
  </si>
  <si>
    <t xml:space="preserve">   • Composition → document becomes Bill of Supply; no GST charged to customer.</t>
  </si>
  <si>
    <t xml:space="preserve">3. LINE ITEMS (Invoice sheet)</t>
  </si>
  <si>
    <t xml:space="preserve">   • Column B (Service/Product): dropdown list from Masters catalog. Select an item.</t>
  </si>
  <si>
    <t xml:space="preserve">   • SAC/HSN, Unit, Rate auto-fill from catalog (gray cells — formulas).</t>
  </si>
  <si>
    <t xml:space="preserve">   • Column D (Qty): ONLY field you need to type for catalog items (yellow).</t>
  </si>
  <si>
    <t xml:space="preserve">   • Amount auto-calculates (Qty × Rate).</t>
  </si>
  <si>
    <t xml:space="preserve">4. CUSTOM MODE</t>
  </si>
  <si>
    <t xml:space="preserve">   • Select "&lt;&lt; CUSTOM ENTRY &gt;&gt;" in the Service/Product dropdown.</t>
  </si>
  <si>
    <t xml:space="preserve">   • Mode column shows "Custom".</t>
  </si>
  <si>
    <t xml:space="preserve">   • Overwrite the gray SAC, Unit, and Rate cells with your own values (replace the formula).</t>
  </si>
  <si>
    <t xml:space="preserve">   • Enter Qty as usual. Amount still auto-calculates.</t>
  </si>
  <si>
    <t xml:space="preserve">   • Use this when the item is not in the catalog.</t>
  </si>
  <si>
    <t xml:space="preserve">5. ADDING NEW SERVICES/PRODUCTS</t>
  </si>
  <si>
    <t xml:space="preserve">   • Go to Masters sheet. Add a new row in the catalog table (Code, Description, Type, SAC/HSN, Unit, Rate, Active=Yes).</t>
  </si>
  <si>
    <t xml:space="preserve">   • The new description appears automatically in the Invoice dropdown (range B5:B15 — extend named range if needed).</t>
  </si>
  <si>
    <t xml:space="preserve">6. TAX LOGIC (automatic)</t>
  </si>
  <si>
    <t xml:space="preserve">   • Inter-State (supplier state code ≠ recipient state code) + Regular → IGST only.</t>
  </si>
  <si>
    <t xml:space="preserve">   • Intra-State + Regular → CGST + SGST.</t>
  </si>
  <si>
    <t xml:space="preserve">   • Composition → CGST=SGST=IGST=0; composition rate is informational only.</t>
  </si>
  <si>
    <t xml:space="preserve">   • Place of Supply and Supply Type are derived from BusinessDetails state codes.</t>
  </si>
  <si>
    <t xml:space="preserve">7. PRINT / PDF</t>
  </si>
  <si>
    <t xml:space="preserve">   • Set print area on Invoice sheet as needed. Landscape or Portrait both work.</t>
  </si>
  <si>
    <t xml:space="preserve">   • Hide Masters / BusinessDetails / Instructions before sharing if desired.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</si>
</sst>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%"/>
    <numFmt numFmtId="166" formatCode="0.00"/>
    <numFmt numFmtId="167" formatCode="#,##0.00"/>
    <numFmt numFmtId="168" formatCode="\₹#,##0.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9"/>
      <color rgb="FF555555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B9770E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555555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sz val="8"/>
      <color rgb="FF444444"/>
      <name val="Arial"/>
      <family val="0"/>
      <charset val="1"/>
    </font>
    <font>
      <sz val="9"/>
      <name val="Arial"/>
      <family val="0"/>
      <charset val="1"/>
    </font>
    <font>
      <i val="true"/>
      <sz val="8"/>
      <color rgb="FF1F4E79"/>
      <name val="Arial"/>
      <family val="0"/>
      <charset val="1"/>
    </font>
    <font>
      <sz val="10"/>
      <name val="Arial"/>
      <family val="2"/>
    </font>
    <font>
      <i val="true"/>
      <sz val="9"/>
      <color rgb="FF888888"/>
      <name val="Arial"/>
      <family val="0"/>
      <charset val="1"/>
    </font>
    <font>
      <b val="true"/>
      <sz val="10"/>
      <color rgb="FFB9770E"/>
      <name val="Arial"/>
      <family val="0"/>
      <charset val="1"/>
    </font>
    <font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DEBD0"/>
        <bgColor rgb="FFFFF2CC"/>
      </patternFill>
    </fill>
    <fill>
      <patternFill patternType="solid">
        <fgColor rgb="FFFFF2CC"/>
        <bgColor rgb="FFFDEBD0"/>
      </patternFill>
    </fill>
    <fill>
      <patternFill patternType="solid">
        <fgColor rgb="FFD5F5E3"/>
        <bgColor rgb="FFD6EAF8"/>
      </patternFill>
    </fill>
    <fill>
      <patternFill patternType="solid">
        <fgColor rgb="FFD6EAF8"/>
        <bgColor rgb="FFD5F5E3"/>
      </patternFill>
    </fill>
    <fill>
      <patternFill patternType="solid">
        <fgColor rgb="FF1F4E79"/>
        <bgColor rgb="FF003366"/>
      </patternFill>
    </fill>
    <fill>
      <patternFill patternType="solid">
        <fgColor rgb="FFF7F9F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1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9770E"/>
      <rgbColor rgb="FF800080"/>
      <rgbColor rgb="FF008080"/>
      <rgbColor rgb="FFCCCCCC"/>
      <rgbColor rgb="FF888888"/>
      <rgbColor rgb="FF9999FF"/>
      <rgbColor rgb="FF993366"/>
      <rgbColor rgb="FFFFF2CC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C"/>
      <rgbColor rgb="FFD5F5E3"/>
      <rgbColor rgb="FFFDEBD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0" topLeftCell="A2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8" min="8" style="0" width="1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tr">
        <f aca="false">IF(OR(B47="COMPOSITION",LEFT(B46,11)="Composition"),"BILL OF SUPPLY  |  Composition Scheme","TAX INVOICE  |  Regular Taxation")</f>
        <v>TAX INVOICE  |  Regular Taxation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1</v>
      </c>
      <c r="B4" s="3"/>
      <c r="C4" s="3"/>
      <c r="D4" s="3"/>
    </row>
    <row r="5" customFormat="false" ht="15" hidden="false" customHeight="false" outlineLevel="0" collapsed="false">
      <c r="A5" s="4" t="s">
        <v>2</v>
      </c>
      <c r="B5" s="5" t="s">
        <v>3</v>
      </c>
      <c r="C5" s="5"/>
      <c r="D5" s="5"/>
    </row>
    <row r="6" customFormat="false" ht="15" hidden="false" customHeight="false" outlineLevel="0" collapsed="false">
      <c r="A6" s="0" t="s">
        <v>4</v>
      </c>
      <c r="B6" s="6" t="str">
        <f aca="false">IFERROR(VLOOKUP(B5,Masters!$A$20:$E$31,2,FALSE()),"REGULAR")</f>
        <v>REGULAR</v>
      </c>
      <c r="C6" s="7" t="s">
        <v>5</v>
      </c>
      <c r="D6" s="8" t="n">
        <f aca="false">IFERROR(VLOOKUP(B5,Masters!$A$20:$E$31,3,FALSE()),0)</f>
        <v>0</v>
      </c>
      <c r="E6" s="7" t="s">
        <v>6</v>
      </c>
      <c r="F6" s="8" t="n">
        <f aca="false">IFERROR(VLOOKUP(B5,Masters!$A$20:$E$31,4,FALSE()),0)</f>
        <v>0</v>
      </c>
      <c r="G6" s="7" t="s">
        <v>7</v>
      </c>
      <c r="H6" s="8" t="n">
        <f aca="false">IFERROR(VLOOKUP(B5,Masters!$A$20:$E$31,5,FALSE()),0)</f>
        <v>0.18</v>
      </c>
    </row>
    <row r="8" customFormat="false" ht="15" hidden="false" customHeight="false" outlineLevel="0" collapsed="false">
      <c r="A8" s="9" t="s">
        <v>8</v>
      </c>
      <c r="E8" s="9" t="s">
        <v>9</v>
      </c>
    </row>
    <row r="9" customFormat="false" ht="15" hidden="false" customHeight="false" outlineLevel="0" collapsed="false">
      <c r="A9" s="2" t="str">
        <f aca="false">BusinessDetails!B5</f>
        <v>Apex Consulting Group</v>
      </c>
      <c r="B9" s="2"/>
      <c r="C9" s="2"/>
      <c r="E9" s="2" t="str">
        <f aca="false">BusinessDetails!B22</f>
        <v>Meridian Technologies Pvt. Ltd.</v>
      </c>
      <c r="F9" s="2"/>
      <c r="G9" s="2"/>
      <c r="H9" s="2"/>
    </row>
    <row r="10" customFormat="false" ht="15" hidden="false" customHeight="false" outlineLevel="0" collapsed="false">
      <c r="A10" s="10" t="str">
        <f aca="false">"GSTIN: "&amp;BusinessDetails!B6&amp;"  |  PAN: "&amp;BusinessDetails!B7</f>
        <v>GSTIN: 27AABCA1234D1Z5  |  PAN: AABCA1234D</v>
      </c>
      <c r="B10" s="10"/>
      <c r="C10" s="10"/>
      <c r="E10" s="10" t="str">
        <f aca="false">"GSTIN: "&amp;BusinessDetails!B23&amp;"  |  PAN: "&amp;BusinessDetails!B24</f>
        <v>GSTIN: 33AADCM9876K1Z2  |  PAN: AADCM9876K</v>
      </c>
      <c r="F10" s="10"/>
      <c r="G10" s="10"/>
      <c r="H10" s="10"/>
    </row>
    <row r="11" customFormat="false" ht="15" hidden="false" customHeight="false" outlineLevel="0" collapsed="false">
      <c r="A11" s="10" t="str">
        <f aca="false">"State: "&amp;BusinessDetails!B8&amp;"-"&amp;BusinessDetails!B9</f>
        <v>State: 27-Maharashtra</v>
      </c>
      <c r="B11" s="10"/>
      <c r="C11" s="10"/>
      <c r="E11" s="10" t="str">
        <f aca="false">"State: "&amp;BusinessDetails!B25&amp;"-"&amp;BusinessDetails!B26</f>
        <v>State: 33-Tamil Nadu</v>
      </c>
      <c r="F11" s="10"/>
      <c r="G11" s="10"/>
      <c r="H11" s="10"/>
    </row>
    <row r="12" customFormat="false" ht="15" hidden="false" customHeight="false" outlineLevel="0" collapsed="false">
      <c r="A12" s="10" t="str">
        <f aca="false">BusinessDetails!B10</f>
        <v>12th Floor, One World Centre, Senapati Bapat Marg</v>
      </c>
      <c r="B12" s="10"/>
      <c r="C12" s="10"/>
      <c r="E12" s="10" t="str">
        <f aca="false">BusinessDetails!B27</f>
        <v>No. 42, Rajiv Gandhi Salai (OMR)</v>
      </c>
      <c r="F12" s="10"/>
      <c r="G12" s="10"/>
      <c r="H12" s="10"/>
    </row>
    <row r="13" customFormat="false" ht="15" hidden="false" customHeight="false" outlineLevel="0" collapsed="false">
      <c r="A13" s="10" t="str">
        <f aca="false">BusinessDetails!B11</f>
        <v>Lower Parel, Mumbai, Maharashtra 400013</v>
      </c>
      <c r="B13" s="10"/>
      <c r="C13" s="10"/>
      <c r="E13" s="10" t="str">
        <f aca="false">BusinessDetails!B28</f>
        <v>Thoraipakkam, Chennai, Tamil Nadu 600097</v>
      </c>
      <c r="F13" s="10"/>
      <c r="G13" s="10"/>
      <c r="H13" s="10"/>
    </row>
    <row r="14" customFormat="false" ht="15" hidden="false" customHeight="false" outlineLevel="0" collapsed="false">
      <c r="A14" s="10" t="str">
        <f aca="false">"Tel: "&amp;BusinessDetails!B12&amp;"  |  "&amp;BusinessDetails!B13</f>
        <v>Tel: +91 22 6123 4500  |  billing@apexconsulting.in</v>
      </c>
      <c r="B14" s="10"/>
      <c r="C14" s="10"/>
      <c r="E14" s="10" t="str">
        <f aca="false">"Attn: "&amp;BusinessDetails!B29</f>
        <v>Attn: Accounts Payable</v>
      </c>
      <c r="F14" s="10"/>
      <c r="G14" s="10"/>
      <c r="H14" s="10"/>
    </row>
    <row r="16" customFormat="false" ht="15" hidden="false" customHeight="false" outlineLevel="0" collapsed="false">
      <c r="A16" s="0" t="s">
        <v>10</v>
      </c>
      <c r="B16" s="11" t="str">
        <f aca="false">BusinessDetails!B32</f>
        <v>INV-2026-0918</v>
      </c>
      <c r="C16" s="7" t="s">
        <v>11</v>
      </c>
      <c r="D16" s="11" t="str">
        <f aca="false">BusinessDetails!B33</f>
        <v>18-Sep-2026</v>
      </c>
      <c r="E16" s="7" t="s">
        <v>12</v>
      </c>
      <c r="F16" s="11" t="str">
        <f aca="false">BusinessDetails!B34</f>
        <v>18-Oct-2026</v>
      </c>
      <c r="G16" s="7" t="s">
        <v>13</v>
      </c>
      <c r="H16" s="11" t="str">
        <f aca="false">BusinessDetails!B35</f>
        <v>PO-88421-A</v>
      </c>
    </row>
    <row r="17" customFormat="false" ht="15" hidden="false" customHeight="false" outlineLevel="0" collapsed="false">
      <c r="A17" s="0" t="s">
        <v>14</v>
      </c>
      <c r="B17" s="12" t="str">
        <f aca="false">BusinessDetails!B25&amp;"-"&amp;BusinessDetails!B26</f>
        <v>33-Tamil Nadu</v>
      </c>
      <c r="C17" s="12"/>
      <c r="D17" s="7" t="s">
        <v>15</v>
      </c>
      <c r="E17" s="6" t="str">
        <f aca="false">IF(BusinessDetails!B8=BusinessDetails!B25,"Intra-State","Inter-State")</f>
        <v>Inter-State</v>
      </c>
      <c r="F17" s="7" t="s">
        <v>16</v>
      </c>
      <c r="G17" s="11" t="str">
        <f aca="false">BusinessDetails!B36</f>
        <v>No</v>
      </c>
    </row>
    <row r="19" customFormat="false" ht="15" hidden="false" customHeight="false" outlineLevel="0" collapsed="false">
      <c r="A19" s="3" t="s">
        <v>17</v>
      </c>
      <c r="B19" s="3"/>
      <c r="C19" s="3"/>
      <c r="D19" s="3"/>
      <c r="E19" s="3"/>
      <c r="F19" s="3"/>
      <c r="G19" s="3"/>
      <c r="H19" s="3"/>
    </row>
    <row r="20" customFormat="false" ht="18" hidden="false" customHeight="true" outlineLevel="0" collapsed="false">
      <c r="A20" s="13" t="s">
        <v>18</v>
      </c>
      <c r="B20" s="13" t="s">
        <v>19</v>
      </c>
      <c r="C20" s="13" t="s">
        <v>20</v>
      </c>
      <c r="D20" s="13" t="s">
        <v>21</v>
      </c>
      <c r="E20" s="13" t="s">
        <v>22</v>
      </c>
      <c r="F20" s="13" t="s">
        <v>23</v>
      </c>
      <c r="G20" s="13" t="s">
        <v>24</v>
      </c>
      <c r="H20" s="13" t="s">
        <v>25</v>
      </c>
    </row>
    <row r="21" customFormat="false" ht="18" hidden="false" customHeight="true" outlineLevel="0" collapsed="false">
      <c r="A21" s="14" t="n">
        <v>1</v>
      </c>
      <c r="B21" s="15" t="s">
        <v>26</v>
      </c>
      <c r="C21" s="16" t="str">
        <f aca="false">IF(B21="","",IF(B21="&lt;&lt; CUSTOM ENTRY &gt;&gt;","",IFERROR(INDEX(Masters!$D$5:$D$15,MATCH(B21,Masters!$B$5:$B$15,0)),"")))</f>
        <v>998311</v>
      </c>
      <c r="D21" s="17" t="n">
        <v>1</v>
      </c>
      <c r="E21" s="16" t="str">
        <f aca="false">IF(B21="","",IF(B21="&lt;&lt; CUSTOM ENTRY &gt;&gt;","",IFERROR(INDEX(Masters!$E$5:$E$15,MATCH(B21,Masters!$B$5:$B$15,0)),"")))</f>
        <v>Project</v>
      </c>
      <c r="F21" s="18" t="n">
        <f aca="false">IF(B21="","",IF(B21="&lt;&lt; CUSTOM ENTRY &gt;&gt;",0,IFERROR(INDEX(Masters!$F$5:$F$15,MATCH(B21,Masters!$B$5:$B$15,0)),0)))</f>
        <v>18500</v>
      </c>
      <c r="G21" s="19" t="n">
        <f aca="false">IF(OR(B21="",D21=""),"",ROUND(D21*F21,2))</f>
        <v>18500</v>
      </c>
      <c r="H21" s="14" t="str">
        <f aca="false">IF(B21="","",IF(B21="&lt;&lt; CUSTOM ENTRY &gt;&gt;","Custom","Catalog"))</f>
        <v>Catalog</v>
      </c>
    </row>
    <row r="22" customFormat="false" ht="18" hidden="false" customHeight="true" outlineLevel="0" collapsed="false">
      <c r="A22" s="14" t="n">
        <v>2</v>
      </c>
      <c r="B22" s="15" t="s">
        <v>27</v>
      </c>
      <c r="C22" s="16" t="str">
        <f aca="false">IF(B22="","",IF(B22="&lt;&lt; CUSTOM ENTRY &gt;&gt;","",IFERROR(INDEX(Masters!$D$5:$D$15,MATCH(B22,Masters!$B$5:$B$15,0)),"")))</f>
        <v>998311</v>
      </c>
      <c r="D22" s="17" t="n">
        <v>80</v>
      </c>
      <c r="E22" s="16" t="str">
        <f aca="false">IF(B22="","",IF(B22="&lt;&lt; CUSTOM ENTRY &gt;&gt;","",IFERROR(INDEX(Masters!$E$5:$E$15,MATCH(B22,Masters!$B$5:$B$15,0)),"")))</f>
        <v>Hours</v>
      </c>
      <c r="F22" s="18" t="n">
        <f aca="false">IF(B22="","",IF(B22="&lt;&lt; CUSTOM ENTRY &gt;&gt;",0,IFERROR(INDEX(Masters!$F$5:$F$15,MATCH(B22,Masters!$B$5:$B$15,0)),0)))</f>
        <v>180</v>
      </c>
      <c r="G22" s="19" t="n">
        <f aca="false">IF(OR(B22="",D22=""),"",ROUND(D22*F22,2))</f>
        <v>14400</v>
      </c>
      <c r="H22" s="14" t="str">
        <f aca="false">IF(B22="","",IF(B22="&lt;&lt; CUSTOM ENTRY &gt;&gt;","Custom","Catalog"))</f>
        <v>Catalog</v>
      </c>
    </row>
    <row r="23" customFormat="false" ht="18" hidden="false" customHeight="true" outlineLevel="0" collapsed="false">
      <c r="A23" s="14" t="n">
        <v>3</v>
      </c>
      <c r="B23" s="15" t="s">
        <v>28</v>
      </c>
      <c r="C23" s="16" t="str">
        <f aca="false">IF(B23="","",IF(B23="&lt;&lt; CUSTOM ENTRY &gt;&gt;","",IFERROR(INDEX(Masters!$D$5:$D$15,MATCH(B23,Masters!$B$5:$B$15,0)),"")))</f>
        <v>998311</v>
      </c>
      <c r="D23" s="17" t="n">
        <v>3</v>
      </c>
      <c r="E23" s="16" t="str">
        <f aca="false">IF(B23="","",IF(B23="&lt;&lt; CUSTOM ENTRY &gt;&gt;","",IFERROR(INDEX(Masters!$E$5:$E$15,MATCH(B23,Masters!$B$5:$B$15,0)),"")))</f>
        <v>Days</v>
      </c>
      <c r="F23" s="18" t="n">
        <f aca="false">IF(B23="","",IF(B23="&lt;&lt; CUSTOM ENTRY &gt;&gt;",0,IFERROR(INDEX(Masters!$F$5:$F$15,MATCH(B23,Masters!$B$5:$B$15,0)),0)))</f>
        <v>3250</v>
      </c>
      <c r="G23" s="19" t="n">
        <f aca="false">IF(OR(B23="",D23=""),"",ROUND(D23*F23,2))</f>
        <v>9750</v>
      </c>
      <c r="H23" s="14" t="str">
        <f aca="false">IF(B23="","",IF(B23="&lt;&lt; CUSTOM ENTRY &gt;&gt;","Custom","Catalog"))</f>
        <v>Catalog</v>
      </c>
    </row>
    <row r="24" customFormat="false" ht="18" hidden="false" customHeight="true" outlineLevel="0" collapsed="false">
      <c r="A24" s="14" t="n">
        <v>4</v>
      </c>
      <c r="B24" s="15" t="s">
        <v>29</v>
      </c>
      <c r="C24" s="16" t="str">
        <f aca="false">IF(B24="","",IF(B24="&lt;&lt; CUSTOM ENTRY &gt;&gt;","",IFERROR(INDEX(Masters!$D$5:$D$15,MATCH(B24,Masters!$B$5:$B$15,0)),"")))</f>
        <v>998314</v>
      </c>
      <c r="D24" s="17" t="n">
        <v>3</v>
      </c>
      <c r="E24" s="16" t="str">
        <f aca="false">IF(B24="","",IF(B24="&lt;&lt; CUSTOM ENTRY &gt;&gt;","",IFERROR(INDEX(Masters!$E$5:$E$15,MATCH(B24,Masters!$B$5:$B$15,0)),"")))</f>
        <v>Months</v>
      </c>
      <c r="F24" s="18" t="n">
        <f aca="false">IF(B24="","",IF(B24="&lt;&lt; CUSTOM ENTRY &gt;&gt;",0,IFERROR(INDEX(Masters!$F$5:$F$15,MATCH(B24,Masters!$B$5:$B$15,0)),0)))</f>
        <v>4000</v>
      </c>
      <c r="G24" s="19" t="n">
        <f aca="false">IF(OR(B24="",D24=""),"",ROUND(D24*F24,2))</f>
        <v>12000</v>
      </c>
      <c r="H24" s="14" t="str">
        <f aca="false">IF(B24="","",IF(B24="&lt;&lt; CUSTOM ENTRY &gt;&gt;","Custom","Catalog"))</f>
        <v>Catalog</v>
      </c>
    </row>
    <row r="25" customFormat="false" ht="18" hidden="false" customHeight="true" outlineLevel="0" collapsed="false">
      <c r="A25" s="14" t="n">
        <v>5</v>
      </c>
      <c r="B25" s="15"/>
      <c r="C25" s="16" t="str">
        <f aca="false">IF(B25="","",IF(B25="&lt;&lt; CUSTOM ENTRY &gt;&gt;","",IFERROR(INDEX(Masters!$D$5:$D$15,MATCH(B25,Masters!$B$5:$B$15,0)),"")))</f>
        <v/>
      </c>
      <c r="D25" s="17"/>
      <c r="E25" s="16" t="str">
        <f aca="false">IF(B25="","",IF(B25="&lt;&lt; CUSTOM ENTRY &gt;&gt;","",IFERROR(INDEX(Masters!$E$5:$E$15,MATCH(B25,Masters!$B$5:$B$15,0)),"")))</f>
        <v/>
      </c>
      <c r="F25" s="18" t="str">
        <f aca="false">IF(B25="","",IF(B25="&lt;&lt; CUSTOM ENTRY &gt;&gt;",0,IFERROR(INDEX(Masters!$F$5:$F$15,MATCH(B25,Masters!$B$5:$B$15,0)),0)))</f>
        <v/>
      </c>
      <c r="G25" s="19" t="str">
        <f aca="false">IF(OR(B25="",D25=""),"",ROUND(D25*F25,2))</f>
        <v/>
      </c>
      <c r="H25" s="14" t="str">
        <f aca="false">IF(B25="","",IF(B25="&lt;&lt; CUSTOM ENTRY &gt;&gt;","Custom","Catalog"))</f>
        <v/>
      </c>
    </row>
    <row r="26" customFormat="false" ht="18" hidden="false" customHeight="true" outlineLevel="0" collapsed="false">
      <c r="A26" s="14" t="n">
        <v>6</v>
      </c>
      <c r="B26" s="15"/>
      <c r="C26" s="16" t="str">
        <f aca="false">IF(B26="","",IF(B26="&lt;&lt; CUSTOM ENTRY &gt;&gt;","",IFERROR(INDEX(Masters!$D$5:$D$15,MATCH(B26,Masters!$B$5:$B$15,0)),"")))</f>
        <v/>
      </c>
      <c r="D26" s="17"/>
      <c r="E26" s="16" t="str">
        <f aca="false">IF(B26="","",IF(B26="&lt;&lt; CUSTOM ENTRY &gt;&gt;","",IFERROR(INDEX(Masters!$E$5:$E$15,MATCH(B26,Masters!$B$5:$B$15,0)),"")))</f>
        <v/>
      </c>
      <c r="F26" s="18" t="str">
        <f aca="false">IF(B26="","",IF(B26="&lt;&lt; CUSTOM ENTRY &gt;&gt;",0,IFERROR(INDEX(Masters!$F$5:$F$15,MATCH(B26,Masters!$B$5:$B$15,0)),0)))</f>
        <v/>
      </c>
      <c r="G26" s="19" t="str">
        <f aca="false">IF(OR(B26="",D26=""),"",ROUND(D26*F26,2))</f>
        <v/>
      </c>
      <c r="H26" s="14" t="str">
        <f aca="false">IF(B26="","",IF(B26="&lt;&lt; CUSTOM ENTRY &gt;&gt;","Custom","Catalog"))</f>
        <v/>
      </c>
    </row>
    <row r="27" customFormat="false" ht="18" hidden="false" customHeight="true" outlineLevel="0" collapsed="false">
      <c r="A27" s="14" t="n">
        <v>7</v>
      </c>
      <c r="B27" s="15"/>
      <c r="C27" s="16" t="str">
        <f aca="false">IF(B27="","",IF(B27="&lt;&lt; CUSTOM ENTRY &gt;&gt;","",IFERROR(INDEX(Masters!$D$5:$D$15,MATCH(B27,Masters!$B$5:$B$15,0)),"")))</f>
        <v/>
      </c>
      <c r="D27" s="17"/>
      <c r="E27" s="16" t="str">
        <f aca="false">IF(B27="","",IF(B27="&lt;&lt; CUSTOM ENTRY &gt;&gt;","",IFERROR(INDEX(Masters!$E$5:$E$15,MATCH(B27,Masters!$B$5:$B$15,0)),"")))</f>
        <v/>
      </c>
      <c r="F27" s="18" t="str">
        <f aca="false">IF(B27="","",IF(B27="&lt;&lt; CUSTOM ENTRY &gt;&gt;",0,IFERROR(INDEX(Masters!$F$5:$F$15,MATCH(B27,Masters!$B$5:$B$15,0)),0)))</f>
        <v/>
      </c>
      <c r="G27" s="19" t="str">
        <f aca="false">IF(OR(B27="",D27=""),"",ROUND(D27*F27,2))</f>
        <v/>
      </c>
      <c r="H27" s="14" t="str">
        <f aca="false">IF(B27="","",IF(B27="&lt;&lt; CUSTOM ENTRY &gt;&gt;","Custom","Catalog"))</f>
        <v/>
      </c>
    </row>
    <row r="28" customFormat="false" ht="18" hidden="false" customHeight="true" outlineLevel="0" collapsed="false">
      <c r="A28" s="14" t="n">
        <v>8</v>
      </c>
      <c r="B28" s="15"/>
      <c r="C28" s="16" t="str">
        <f aca="false">IF(B28="","",IF(B28="&lt;&lt; CUSTOM ENTRY &gt;&gt;","",IFERROR(INDEX(Masters!$D$5:$D$15,MATCH(B28,Masters!$B$5:$B$15,0)),"")))</f>
        <v/>
      </c>
      <c r="D28" s="17"/>
      <c r="E28" s="16" t="str">
        <f aca="false">IF(B28="","",IF(B28="&lt;&lt; CUSTOM ENTRY &gt;&gt;","",IFERROR(INDEX(Masters!$E$5:$E$15,MATCH(B28,Masters!$B$5:$B$15,0)),"")))</f>
        <v/>
      </c>
      <c r="F28" s="18" t="str">
        <f aca="false">IF(B28="","",IF(B28="&lt;&lt; CUSTOM ENTRY &gt;&gt;",0,IFERROR(INDEX(Masters!$F$5:$F$15,MATCH(B28,Masters!$B$5:$B$15,0)),0)))</f>
        <v/>
      </c>
      <c r="G28" s="19" t="str">
        <f aca="false">IF(OR(B28="",D28=""),"",ROUND(D28*F28,2))</f>
        <v/>
      </c>
      <c r="H28" s="14" t="str">
        <f aca="false">IF(B28="","",IF(B28="&lt;&lt; CUSTOM ENTRY &gt;&gt;","Custom","Catalog"))</f>
        <v/>
      </c>
    </row>
    <row r="29" customFormat="false" ht="15" hidden="false" customHeight="false" outlineLevel="0" collapsed="false">
      <c r="A29" s="20" t="s">
        <v>30</v>
      </c>
      <c r="B29" s="20"/>
      <c r="C29" s="20"/>
      <c r="D29" s="20"/>
      <c r="E29" s="20"/>
      <c r="F29" s="20"/>
      <c r="G29" s="20"/>
      <c r="H29" s="20"/>
    </row>
    <row r="31" customFormat="false" ht="15" hidden="false" customHeight="false" outlineLevel="0" collapsed="false">
      <c r="A31" s="21" t="s">
        <v>31</v>
      </c>
      <c r="E31" s="22" t="s">
        <v>32</v>
      </c>
      <c r="G31" s="23" t="n">
        <f aca="false">IFERROR(SUM(G21:G28),0)</f>
        <v>54650</v>
      </c>
    </row>
    <row r="32" customFormat="false" ht="15" hidden="false" customHeight="false" outlineLevel="0" collapsed="false">
      <c r="A32" s="10" t="str">
        <f aca="false">BusinessDetails!B14&amp;"  |  A/c: "&amp;BusinessDetails!B16</f>
        <v>HDFC Bank Ltd.  |  A/c: 502000********21</v>
      </c>
      <c r="B32" s="10"/>
      <c r="C32" s="10"/>
      <c r="E32" s="22" t="s">
        <v>33</v>
      </c>
      <c r="F32" s="24" t="n">
        <f aca="false">D6</f>
        <v>0</v>
      </c>
      <c r="G32" s="25" t="n">
        <f aca="false">IF(B6="COMPOSITION",0,ROUND(G31*D6,2))</f>
        <v>0</v>
      </c>
    </row>
    <row r="33" customFormat="false" ht="15" hidden="false" customHeight="false" outlineLevel="0" collapsed="false">
      <c r="A33" s="10" t="str">
        <f aca="false">"IFSC: "&amp;BusinessDetails!B17&amp;"  |  "&amp;BusinessDetails!B18</f>
        <v>IFSC: HDFC0000123  |  Lower Parel, Mumbai</v>
      </c>
      <c r="B33" s="10"/>
      <c r="C33" s="10"/>
      <c r="E33" s="22" t="s">
        <v>34</v>
      </c>
      <c r="F33" s="24" t="n">
        <f aca="false">F6</f>
        <v>0</v>
      </c>
      <c r="G33" s="25" t="n">
        <f aca="false">IF(B6="COMPOSITION",0,ROUND(G31*F6,2))</f>
        <v>0</v>
      </c>
    </row>
    <row r="34" customFormat="false" ht="15" hidden="false" customHeight="false" outlineLevel="0" collapsed="false">
      <c r="A34" s="10" t="str">
        <f aca="false">"UPI: "&amp;BusinessDetails!B19</f>
        <v>UPI: apex.billing@hdfcbank</v>
      </c>
      <c r="B34" s="10"/>
      <c r="C34" s="10"/>
      <c r="E34" s="22" t="s">
        <v>35</v>
      </c>
      <c r="F34" s="24" t="n">
        <f aca="false">H6</f>
        <v>0.18</v>
      </c>
      <c r="G34" s="26" t="n">
        <f aca="false">IF(B6="COMPOSITION",0,ROUND(G31*H6,2))</f>
        <v>9837</v>
      </c>
    </row>
    <row r="35" customFormat="false" ht="15" hidden="false" customHeight="false" outlineLevel="0" collapsed="false">
      <c r="E35" s="27" t="s">
        <v>36</v>
      </c>
      <c r="G35" s="28" t="n">
        <f aca="false">G32+G33+G34</f>
        <v>9837</v>
      </c>
    </row>
    <row r="36" customFormat="false" ht="15" hidden="false" customHeight="false" outlineLevel="0" collapsed="false">
      <c r="E36" s="29" t="s">
        <v>37</v>
      </c>
      <c r="G36" s="30" t="n">
        <f aca="false">G31+G35</f>
        <v>64487</v>
      </c>
    </row>
    <row r="38" customFormat="false" ht="15" hidden="false" customHeight="false" outlineLevel="0" collapsed="false">
      <c r="A38" s="21" t="s">
        <v>38</v>
      </c>
    </row>
    <row r="39" customFormat="false" ht="15" hidden="false" customHeight="true" outlineLevel="0" collapsed="false">
      <c r="A39" s="31" t="s">
        <v>39</v>
      </c>
      <c r="B39" s="31"/>
      <c r="C39" s="31"/>
      <c r="D39" s="31"/>
      <c r="E39" s="31"/>
      <c r="F39" s="31"/>
      <c r="G39" s="31"/>
      <c r="H39" s="31"/>
    </row>
    <row r="40" customFormat="false" ht="15" hidden="false" customHeight="false" outlineLevel="0" collapsed="false">
      <c r="A40" s="31"/>
      <c r="B40" s="31"/>
      <c r="C40" s="31"/>
      <c r="D40" s="31"/>
      <c r="E40" s="31"/>
      <c r="F40" s="31"/>
      <c r="G40" s="31"/>
      <c r="H40" s="31"/>
    </row>
    <row r="42" customFormat="false" ht="15" hidden="false" customHeight="false" outlineLevel="0" collapsed="false">
      <c r="A42" s="21" t="s">
        <v>40</v>
      </c>
    </row>
    <row r="43" customFormat="false" ht="15" hidden="false" customHeight="false" outlineLevel="0" collapsed="false">
      <c r="A43" s="32" t="s">
        <v>41</v>
      </c>
      <c r="B43" s="32"/>
      <c r="C43" s="32"/>
      <c r="D43" s="32"/>
      <c r="E43" s="32" t="s">
        <v>42</v>
      </c>
      <c r="F43" s="32"/>
      <c r="G43" s="32"/>
      <c r="H43" s="32"/>
    </row>
    <row r="45" customFormat="false" ht="15" hidden="false" customHeight="false" outlineLevel="0" collapsed="false">
      <c r="A45" s="33" t="s">
        <v>43</v>
      </c>
      <c r="B45" s="33"/>
      <c r="C45" s="33"/>
      <c r="D45" s="33"/>
      <c r="E45" s="33"/>
      <c r="F45" s="33"/>
      <c r="G45" s="33"/>
      <c r="H45" s="33"/>
    </row>
    <row r="46" customFormat="false" ht="15" hidden="false" customHeight="false" outlineLevel="0" collapsed="false">
      <c r="B46" s="0" t="str">
        <f aca="false">B6</f>
        <v>REGULAR</v>
      </c>
      <c r="D46" s="24" t="n">
        <f aca="false">D6</f>
        <v>0</v>
      </c>
      <c r="F46" s="24" t="n">
        <f aca="false">F6</f>
        <v>0</v>
      </c>
      <c r="H46" s="24" t="n">
        <f aca="false">H6</f>
        <v>0.18</v>
      </c>
    </row>
    <row r="47" customFormat="false" ht="15" hidden="false" customHeight="false" outlineLevel="0" collapsed="false">
      <c r="B47" s="0" t="str">
        <f aca="false">B6</f>
        <v>REGULAR</v>
      </c>
    </row>
  </sheetData>
  <mergeCells count="26">
    <mergeCell ref="A1:H1"/>
    <mergeCell ref="A2:H2"/>
    <mergeCell ref="A4:D4"/>
    <mergeCell ref="B5:D5"/>
    <mergeCell ref="A9:C9"/>
    <mergeCell ref="E9:H9"/>
    <mergeCell ref="A10:C10"/>
    <mergeCell ref="E10:H10"/>
    <mergeCell ref="A11:C11"/>
    <mergeCell ref="E11:H11"/>
    <mergeCell ref="A12:C12"/>
    <mergeCell ref="E12:H12"/>
    <mergeCell ref="A13:C13"/>
    <mergeCell ref="E13:H13"/>
    <mergeCell ref="A14:C14"/>
    <mergeCell ref="E14:H14"/>
    <mergeCell ref="B17:C17"/>
    <mergeCell ref="A19:H19"/>
    <mergeCell ref="A29:H29"/>
    <mergeCell ref="A32:C32"/>
    <mergeCell ref="A33:C33"/>
    <mergeCell ref="A34:C34"/>
    <mergeCell ref="A39:H40"/>
    <mergeCell ref="A43:D43"/>
    <mergeCell ref="E43:H43"/>
    <mergeCell ref="A45:H45"/>
  </mergeCells>
  <dataValidations count="2">
    <dataValidation allowBlank="false" error="Please select a GST rate preset from the list." errorStyle="stop" errorTitle="Invalid Preset" operator="between" showDropDown="false" showErrorMessage="true" showInputMessage="false" sqref="B5" type="list">
      <formula1>"Regular 18% (Inter-State IGST),Regular 18% (Intra-State CGST+SGST),Regular 12% (Inter-State IGST),Regular 12% (Intra-State CGST+SGST),Regular 5% (Inter-State IGST),Regular 5% (Intra-State CGST+SGST),Regular 28% (Inter-State IGST),Regular 28% (Intra-State "</formula1>
      <formula2>0</formula2>
    </dataValidation>
    <dataValidation allowBlank="true" error="Please select a service/product from the dropdown, or choose &lt;&lt; CUSTOM ENTRY &gt;&gt;." errorStyle="stop" errorTitle="Select from list" operator="between" showDropDown="false" showErrorMessage="true" showInputMessage="false" sqref="B21:B28" type="list">
      <formula1>Masters!$B$5:$B$15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5"/>
  </cols>
  <sheetData>
    <row r="1" customFormat="false" ht="19.7" hidden="false" customHeight="false" outlineLevel="0" collapsed="false">
      <c r="A1" s="1" t="s">
        <v>44</v>
      </c>
      <c r="B1" s="1"/>
      <c r="C1" s="1"/>
      <c r="D1" s="1"/>
    </row>
    <row r="2" customFormat="false" ht="15" hidden="false" customHeight="false" outlineLevel="0" collapsed="false">
      <c r="A2" s="34" t="s">
        <v>45</v>
      </c>
      <c r="B2" s="34"/>
      <c r="C2" s="34"/>
      <c r="D2" s="34"/>
    </row>
    <row r="4" customFormat="false" ht="15" hidden="false" customHeight="false" outlineLevel="0" collapsed="false">
      <c r="A4" s="35" t="s">
        <v>46</v>
      </c>
      <c r="B4" s="35"/>
    </row>
    <row r="5" customFormat="false" ht="15" hidden="false" customHeight="false" outlineLevel="0" collapsed="false">
      <c r="A5" s="36" t="s">
        <v>47</v>
      </c>
      <c r="B5" s="15" t="s">
        <v>48</v>
      </c>
    </row>
    <row r="6" customFormat="false" ht="15" hidden="false" customHeight="false" outlineLevel="0" collapsed="false">
      <c r="A6" s="36" t="s">
        <v>49</v>
      </c>
      <c r="B6" s="15" t="s">
        <v>50</v>
      </c>
    </row>
    <row r="7" customFormat="false" ht="15" hidden="false" customHeight="false" outlineLevel="0" collapsed="false">
      <c r="A7" s="36" t="s">
        <v>51</v>
      </c>
      <c r="B7" s="15" t="s">
        <v>52</v>
      </c>
    </row>
    <row r="8" customFormat="false" ht="15" hidden="false" customHeight="false" outlineLevel="0" collapsed="false">
      <c r="A8" s="36" t="s">
        <v>53</v>
      </c>
      <c r="B8" s="15" t="s">
        <v>54</v>
      </c>
    </row>
    <row r="9" customFormat="false" ht="15" hidden="false" customHeight="false" outlineLevel="0" collapsed="false">
      <c r="A9" s="36" t="s">
        <v>55</v>
      </c>
      <c r="B9" s="15" t="s">
        <v>56</v>
      </c>
    </row>
    <row r="10" customFormat="false" ht="15" hidden="false" customHeight="false" outlineLevel="0" collapsed="false">
      <c r="A10" s="36" t="s">
        <v>57</v>
      </c>
      <c r="B10" s="15" t="s">
        <v>58</v>
      </c>
    </row>
    <row r="11" customFormat="false" ht="15" hidden="false" customHeight="false" outlineLevel="0" collapsed="false">
      <c r="A11" s="36" t="s">
        <v>59</v>
      </c>
      <c r="B11" s="15" t="s">
        <v>60</v>
      </c>
    </row>
    <row r="12" customFormat="false" ht="15" hidden="false" customHeight="false" outlineLevel="0" collapsed="false">
      <c r="A12" s="36" t="s">
        <v>61</v>
      </c>
      <c r="B12" s="15" t="s">
        <v>62</v>
      </c>
    </row>
    <row r="13" customFormat="false" ht="15" hidden="false" customHeight="false" outlineLevel="0" collapsed="false">
      <c r="A13" s="36" t="s">
        <v>63</v>
      </c>
      <c r="B13" s="15" t="s">
        <v>64</v>
      </c>
    </row>
    <row r="14" customFormat="false" ht="15" hidden="false" customHeight="false" outlineLevel="0" collapsed="false">
      <c r="A14" s="36" t="s">
        <v>65</v>
      </c>
      <c r="B14" s="15" t="s">
        <v>66</v>
      </c>
    </row>
    <row r="15" customFormat="false" ht="15" hidden="false" customHeight="false" outlineLevel="0" collapsed="false">
      <c r="A15" s="36" t="s">
        <v>67</v>
      </c>
      <c r="B15" s="15" t="s">
        <v>48</v>
      </c>
    </row>
    <row r="16" customFormat="false" ht="15" hidden="false" customHeight="false" outlineLevel="0" collapsed="false">
      <c r="A16" s="36" t="s">
        <v>68</v>
      </c>
      <c r="B16" s="15" t="s">
        <v>69</v>
      </c>
    </row>
    <row r="17" customFormat="false" ht="15" hidden="false" customHeight="false" outlineLevel="0" collapsed="false">
      <c r="A17" s="36" t="s">
        <v>70</v>
      </c>
      <c r="B17" s="15" t="s">
        <v>71</v>
      </c>
    </row>
    <row r="18" customFormat="false" ht="15" hidden="false" customHeight="false" outlineLevel="0" collapsed="false">
      <c r="A18" s="36" t="s">
        <v>72</v>
      </c>
      <c r="B18" s="15" t="s">
        <v>73</v>
      </c>
    </row>
    <row r="19" customFormat="false" ht="15" hidden="false" customHeight="false" outlineLevel="0" collapsed="false">
      <c r="A19" s="36" t="s">
        <v>74</v>
      </c>
      <c r="B19" s="15" t="s">
        <v>75</v>
      </c>
    </row>
    <row r="21" customFormat="false" ht="15" hidden="false" customHeight="false" outlineLevel="0" collapsed="false">
      <c r="A21" s="35" t="s">
        <v>76</v>
      </c>
      <c r="B21" s="35"/>
    </row>
    <row r="22" customFormat="false" ht="15" hidden="false" customHeight="false" outlineLevel="0" collapsed="false">
      <c r="A22" s="36" t="s">
        <v>47</v>
      </c>
      <c r="B22" s="15" t="s">
        <v>77</v>
      </c>
    </row>
    <row r="23" customFormat="false" ht="15" hidden="false" customHeight="false" outlineLevel="0" collapsed="false">
      <c r="A23" s="36" t="s">
        <v>49</v>
      </c>
      <c r="B23" s="15" t="s">
        <v>78</v>
      </c>
    </row>
    <row r="24" customFormat="false" ht="15" hidden="false" customHeight="false" outlineLevel="0" collapsed="false">
      <c r="A24" s="36" t="s">
        <v>51</v>
      </c>
      <c r="B24" s="15" t="s">
        <v>79</v>
      </c>
    </row>
    <row r="25" customFormat="false" ht="15" hidden="false" customHeight="false" outlineLevel="0" collapsed="false">
      <c r="A25" s="36" t="s">
        <v>53</v>
      </c>
      <c r="B25" s="15" t="s">
        <v>80</v>
      </c>
    </row>
    <row r="26" customFormat="false" ht="15" hidden="false" customHeight="false" outlineLevel="0" collapsed="false">
      <c r="A26" s="36" t="s">
        <v>55</v>
      </c>
      <c r="B26" s="15" t="s">
        <v>81</v>
      </c>
    </row>
    <row r="27" customFormat="false" ht="15" hidden="false" customHeight="false" outlineLevel="0" collapsed="false">
      <c r="A27" s="36" t="s">
        <v>57</v>
      </c>
      <c r="B27" s="15" t="s">
        <v>82</v>
      </c>
    </row>
    <row r="28" customFormat="false" ht="15" hidden="false" customHeight="false" outlineLevel="0" collapsed="false">
      <c r="A28" s="36" t="s">
        <v>59</v>
      </c>
      <c r="B28" s="15" t="s">
        <v>83</v>
      </c>
    </row>
    <row r="29" customFormat="false" ht="15" hidden="false" customHeight="false" outlineLevel="0" collapsed="false">
      <c r="A29" s="36" t="s">
        <v>84</v>
      </c>
      <c r="B29" s="15" t="s">
        <v>85</v>
      </c>
    </row>
    <row r="31" customFormat="false" ht="15" hidden="false" customHeight="false" outlineLevel="0" collapsed="false">
      <c r="A31" s="35" t="s">
        <v>86</v>
      </c>
      <c r="B31" s="35"/>
    </row>
    <row r="32" customFormat="false" ht="15" hidden="false" customHeight="false" outlineLevel="0" collapsed="false">
      <c r="A32" s="36" t="s">
        <v>87</v>
      </c>
      <c r="B32" s="37" t="s">
        <v>88</v>
      </c>
    </row>
    <row r="33" customFormat="false" ht="15" hidden="false" customHeight="false" outlineLevel="0" collapsed="false">
      <c r="A33" s="36" t="s">
        <v>89</v>
      </c>
      <c r="B33" s="37" t="s">
        <v>90</v>
      </c>
    </row>
    <row r="34" customFormat="false" ht="15" hidden="false" customHeight="false" outlineLevel="0" collapsed="false">
      <c r="A34" s="36" t="s">
        <v>91</v>
      </c>
      <c r="B34" s="37" t="s">
        <v>92</v>
      </c>
    </row>
    <row r="35" customFormat="false" ht="15" hidden="false" customHeight="false" outlineLevel="0" collapsed="false">
      <c r="A35" s="36" t="s">
        <v>93</v>
      </c>
      <c r="B35" s="37" t="s">
        <v>94</v>
      </c>
    </row>
    <row r="36" customFormat="false" ht="15" hidden="false" customHeight="false" outlineLevel="0" collapsed="false">
      <c r="A36" s="36" t="s">
        <v>95</v>
      </c>
      <c r="B36" s="37" t="s">
        <v>96</v>
      </c>
    </row>
  </sheetData>
  <mergeCells count="5">
    <mergeCell ref="A1:D1"/>
    <mergeCell ref="A2:D2"/>
    <mergeCell ref="A4:B4"/>
    <mergeCell ref="A21:B21"/>
    <mergeCell ref="A31:B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8"/>
    <col collapsed="false" customWidth="true" hidden="false" outlineLevel="0" max="5" min="3" style="0" width="12"/>
    <col collapsed="false" customWidth="true" hidden="false" outlineLevel="0" max="6" min="6" style="0" width="14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38" t="s">
        <v>97</v>
      </c>
      <c r="B1" s="38"/>
      <c r="C1" s="38"/>
      <c r="D1" s="38"/>
      <c r="E1" s="38"/>
      <c r="F1" s="38"/>
      <c r="G1" s="38"/>
    </row>
    <row r="3" customFormat="false" ht="15" hidden="false" customHeight="false" outlineLevel="0" collapsed="false">
      <c r="A3" s="2" t="s">
        <v>98</v>
      </c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13" t="s">
        <v>99</v>
      </c>
      <c r="B4" s="13" t="s">
        <v>100</v>
      </c>
      <c r="C4" s="13" t="s">
        <v>101</v>
      </c>
      <c r="D4" s="13" t="s">
        <v>20</v>
      </c>
      <c r="E4" s="13" t="s">
        <v>22</v>
      </c>
      <c r="F4" s="13" t="s">
        <v>23</v>
      </c>
      <c r="G4" s="13" t="s">
        <v>102</v>
      </c>
    </row>
    <row r="5" customFormat="false" ht="15" hidden="false" customHeight="false" outlineLevel="0" collapsed="false">
      <c r="A5" s="39" t="s">
        <v>103</v>
      </c>
      <c r="B5" s="40" t="s">
        <v>26</v>
      </c>
      <c r="C5" s="39" t="s">
        <v>104</v>
      </c>
      <c r="D5" s="39" t="s">
        <v>105</v>
      </c>
      <c r="E5" s="39" t="s">
        <v>106</v>
      </c>
      <c r="F5" s="41" t="n">
        <v>18500</v>
      </c>
      <c r="G5" s="14" t="s">
        <v>107</v>
      </c>
    </row>
    <row r="6" customFormat="false" ht="15" hidden="false" customHeight="false" outlineLevel="0" collapsed="false">
      <c r="A6" s="39" t="s">
        <v>108</v>
      </c>
      <c r="B6" s="40" t="s">
        <v>27</v>
      </c>
      <c r="C6" s="39" t="s">
        <v>104</v>
      </c>
      <c r="D6" s="39" t="s">
        <v>105</v>
      </c>
      <c r="E6" s="39" t="s">
        <v>109</v>
      </c>
      <c r="F6" s="41" t="n">
        <v>180</v>
      </c>
      <c r="G6" s="14" t="s">
        <v>107</v>
      </c>
    </row>
    <row r="7" customFormat="false" ht="15" hidden="false" customHeight="false" outlineLevel="0" collapsed="false">
      <c r="A7" s="39" t="s">
        <v>110</v>
      </c>
      <c r="B7" s="40" t="s">
        <v>28</v>
      </c>
      <c r="C7" s="39" t="s">
        <v>104</v>
      </c>
      <c r="D7" s="39" t="s">
        <v>105</v>
      </c>
      <c r="E7" s="39" t="s">
        <v>111</v>
      </c>
      <c r="F7" s="41" t="n">
        <v>3250</v>
      </c>
      <c r="G7" s="14" t="s">
        <v>107</v>
      </c>
    </row>
    <row r="8" customFormat="false" ht="15" hidden="false" customHeight="false" outlineLevel="0" collapsed="false">
      <c r="A8" s="39" t="s">
        <v>112</v>
      </c>
      <c r="B8" s="40" t="s">
        <v>29</v>
      </c>
      <c r="C8" s="39" t="s">
        <v>104</v>
      </c>
      <c r="D8" s="39" t="s">
        <v>113</v>
      </c>
      <c r="E8" s="39" t="s">
        <v>114</v>
      </c>
      <c r="F8" s="41" t="n">
        <v>4000</v>
      </c>
      <c r="G8" s="14" t="s">
        <v>107</v>
      </c>
    </row>
    <row r="9" customFormat="false" ht="15" hidden="false" customHeight="false" outlineLevel="0" collapsed="false">
      <c r="A9" s="39" t="s">
        <v>115</v>
      </c>
      <c r="B9" s="40" t="s">
        <v>116</v>
      </c>
      <c r="C9" s="39" t="s">
        <v>104</v>
      </c>
      <c r="D9" s="39" t="s">
        <v>105</v>
      </c>
      <c r="E9" s="39" t="s">
        <v>106</v>
      </c>
      <c r="F9" s="41" t="n">
        <v>12500</v>
      </c>
      <c r="G9" s="14" t="s">
        <v>107</v>
      </c>
    </row>
    <row r="10" customFormat="false" ht="15" hidden="false" customHeight="false" outlineLevel="0" collapsed="false">
      <c r="A10" s="39" t="s">
        <v>117</v>
      </c>
      <c r="B10" s="40" t="s">
        <v>118</v>
      </c>
      <c r="C10" s="39" t="s">
        <v>104</v>
      </c>
      <c r="D10" s="39" t="s">
        <v>105</v>
      </c>
      <c r="E10" s="39" t="s">
        <v>106</v>
      </c>
      <c r="F10" s="41" t="n">
        <v>9800</v>
      </c>
      <c r="G10" s="14" t="s">
        <v>107</v>
      </c>
    </row>
    <row r="11" customFormat="false" ht="15" hidden="false" customHeight="false" outlineLevel="0" collapsed="false">
      <c r="A11" s="39" t="s">
        <v>119</v>
      </c>
      <c r="B11" s="40" t="s">
        <v>120</v>
      </c>
      <c r="C11" s="39" t="s">
        <v>104</v>
      </c>
      <c r="D11" s="39" t="s">
        <v>113</v>
      </c>
      <c r="E11" s="39" t="s">
        <v>106</v>
      </c>
      <c r="F11" s="41" t="n">
        <v>15000</v>
      </c>
      <c r="G11" s="14" t="s">
        <v>107</v>
      </c>
    </row>
    <row r="12" customFormat="false" ht="15" hidden="false" customHeight="false" outlineLevel="0" collapsed="false">
      <c r="A12" s="39" t="s">
        <v>121</v>
      </c>
      <c r="B12" s="40" t="s">
        <v>122</v>
      </c>
      <c r="C12" s="39" t="s">
        <v>104</v>
      </c>
      <c r="D12" s="39" t="s">
        <v>113</v>
      </c>
      <c r="E12" s="39" t="s">
        <v>114</v>
      </c>
      <c r="F12" s="41" t="n">
        <v>3500</v>
      </c>
      <c r="G12" s="14" t="s">
        <v>107</v>
      </c>
    </row>
    <row r="13" customFormat="false" ht="15" hidden="false" customHeight="false" outlineLevel="0" collapsed="false">
      <c r="A13" s="39" t="s">
        <v>123</v>
      </c>
      <c r="B13" s="40" t="s">
        <v>124</v>
      </c>
      <c r="C13" s="39" t="s">
        <v>125</v>
      </c>
      <c r="D13" s="39" t="s">
        <v>126</v>
      </c>
      <c r="E13" s="39" t="s">
        <v>127</v>
      </c>
      <c r="F13" s="41" t="n">
        <v>45000</v>
      </c>
      <c r="G13" s="14" t="s">
        <v>107</v>
      </c>
    </row>
    <row r="14" customFormat="false" ht="15" hidden="false" customHeight="false" outlineLevel="0" collapsed="false">
      <c r="A14" s="39" t="s">
        <v>128</v>
      </c>
      <c r="B14" s="40" t="s">
        <v>129</v>
      </c>
      <c r="C14" s="39" t="s">
        <v>125</v>
      </c>
      <c r="D14" s="39" t="s">
        <v>130</v>
      </c>
      <c r="E14" s="39" t="s">
        <v>22</v>
      </c>
      <c r="F14" s="41" t="n">
        <v>85000</v>
      </c>
      <c r="G14" s="14" t="s">
        <v>107</v>
      </c>
    </row>
    <row r="15" customFormat="false" ht="15" hidden="false" customHeight="false" outlineLevel="0" collapsed="false">
      <c r="A15" s="39" t="s">
        <v>131</v>
      </c>
      <c r="B15" s="42" t="s">
        <v>132</v>
      </c>
      <c r="C15" s="39" t="s">
        <v>133</v>
      </c>
      <c r="D15" s="39"/>
      <c r="E15" s="39" t="s">
        <v>22</v>
      </c>
      <c r="F15" s="41" t="n">
        <v>0</v>
      </c>
      <c r="G15" s="14" t="s">
        <v>107</v>
      </c>
    </row>
    <row r="18" customFormat="false" ht="15" hidden="false" customHeight="false" outlineLevel="0" collapsed="false">
      <c r="A18" s="2" t="s">
        <v>134</v>
      </c>
      <c r="B18" s="2"/>
      <c r="C18" s="2"/>
      <c r="D18" s="2"/>
      <c r="E18" s="2"/>
    </row>
    <row r="19" customFormat="false" ht="15" hidden="false" customHeight="false" outlineLevel="0" collapsed="false">
      <c r="A19" s="13" t="s">
        <v>135</v>
      </c>
      <c r="B19" s="13" t="s">
        <v>4</v>
      </c>
      <c r="C19" s="13" t="s">
        <v>5</v>
      </c>
      <c r="D19" s="13" t="s">
        <v>6</v>
      </c>
      <c r="E19" s="13" t="s">
        <v>7</v>
      </c>
    </row>
    <row r="20" customFormat="false" ht="35.05" hidden="false" customHeight="false" outlineLevel="0" collapsed="false">
      <c r="A20" s="40" t="s">
        <v>3</v>
      </c>
      <c r="B20" s="39" t="s">
        <v>136</v>
      </c>
      <c r="C20" s="43" t="n">
        <v>0</v>
      </c>
      <c r="D20" s="43" t="n">
        <v>0</v>
      </c>
      <c r="E20" s="43" t="n">
        <v>0.18</v>
      </c>
    </row>
    <row r="21" customFormat="false" ht="46.25" hidden="false" customHeight="false" outlineLevel="0" collapsed="false">
      <c r="A21" s="40" t="s">
        <v>137</v>
      </c>
      <c r="B21" s="39" t="s">
        <v>136</v>
      </c>
      <c r="C21" s="43" t="n">
        <v>0.09</v>
      </c>
      <c r="D21" s="43" t="n">
        <v>0.09</v>
      </c>
      <c r="E21" s="43" t="n">
        <v>0</v>
      </c>
    </row>
    <row r="22" customFormat="false" ht="35.05" hidden="false" customHeight="false" outlineLevel="0" collapsed="false">
      <c r="A22" s="40" t="s">
        <v>138</v>
      </c>
      <c r="B22" s="39" t="s">
        <v>136</v>
      </c>
      <c r="C22" s="43" t="n">
        <v>0</v>
      </c>
      <c r="D22" s="43" t="n">
        <v>0</v>
      </c>
      <c r="E22" s="43" t="n">
        <v>0.12</v>
      </c>
    </row>
    <row r="23" customFormat="false" ht="46.25" hidden="false" customHeight="false" outlineLevel="0" collapsed="false">
      <c r="A23" s="40" t="s">
        <v>139</v>
      </c>
      <c r="B23" s="39" t="s">
        <v>136</v>
      </c>
      <c r="C23" s="43" t="n">
        <v>0.06</v>
      </c>
      <c r="D23" s="43" t="n">
        <v>0.06</v>
      </c>
      <c r="E23" s="43" t="n">
        <v>0</v>
      </c>
    </row>
    <row r="24" customFormat="false" ht="35.05" hidden="false" customHeight="false" outlineLevel="0" collapsed="false">
      <c r="A24" s="40" t="s">
        <v>140</v>
      </c>
      <c r="B24" s="39" t="s">
        <v>136</v>
      </c>
      <c r="C24" s="43" t="n">
        <v>0</v>
      </c>
      <c r="D24" s="43" t="n">
        <v>0</v>
      </c>
      <c r="E24" s="43" t="n">
        <v>0.05</v>
      </c>
    </row>
    <row r="25" customFormat="false" ht="46.25" hidden="false" customHeight="false" outlineLevel="0" collapsed="false">
      <c r="A25" s="40" t="s">
        <v>141</v>
      </c>
      <c r="B25" s="39" t="s">
        <v>136</v>
      </c>
      <c r="C25" s="43" t="n">
        <v>0.025</v>
      </c>
      <c r="D25" s="43" t="n">
        <v>0.025</v>
      </c>
      <c r="E25" s="43" t="n">
        <v>0</v>
      </c>
    </row>
    <row r="26" customFormat="false" ht="35.05" hidden="false" customHeight="false" outlineLevel="0" collapsed="false">
      <c r="A26" s="40" t="s">
        <v>142</v>
      </c>
      <c r="B26" s="39" t="s">
        <v>136</v>
      </c>
      <c r="C26" s="43" t="n">
        <v>0</v>
      </c>
      <c r="D26" s="43" t="n">
        <v>0</v>
      </c>
      <c r="E26" s="43" t="n">
        <v>0.28</v>
      </c>
    </row>
    <row r="27" customFormat="false" ht="46.25" hidden="false" customHeight="false" outlineLevel="0" collapsed="false">
      <c r="A27" s="40" t="s">
        <v>143</v>
      </c>
      <c r="B27" s="39" t="s">
        <v>136</v>
      </c>
      <c r="C27" s="43" t="n">
        <v>0.14</v>
      </c>
      <c r="D27" s="43" t="n">
        <v>0.14</v>
      </c>
      <c r="E27" s="43" t="n">
        <v>0</v>
      </c>
    </row>
    <row r="28" customFormat="false" ht="23.85" hidden="false" customHeight="false" outlineLevel="0" collapsed="false">
      <c r="A28" s="40" t="s">
        <v>144</v>
      </c>
      <c r="B28" s="39" t="s">
        <v>145</v>
      </c>
      <c r="C28" s="43" t="n">
        <v>0</v>
      </c>
      <c r="D28" s="43" t="n">
        <v>0</v>
      </c>
      <c r="E28" s="43" t="n">
        <v>0</v>
      </c>
    </row>
    <row r="29" customFormat="false" ht="23.85" hidden="false" customHeight="false" outlineLevel="0" collapsed="false">
      <c r="A29" s="40" t="s">
        <v>146</v>
      </c>
      <c r="B29" s="39" t="s">
        <v>145</v>
      </c>
      <c r="C29" s="43" t="n">
        <v>0</v>
      </c>
      <c r="D29" s="43" t="n">
        <v>0</v>
      </c>
      <c r="E29" s="43" t="n">
        <v>0</v>
      </c>
    </row>
    <row r="30" customFormat="false" ht="35.05" hidden="false" customHeight="false" outlineLevel="0" collapsed="false">
      <c r="A30" s="40" t="s">
        <v>147</v>
      </c>
      <c r="B30" s="39" t="s">
        <v>145</v>
      </c>
      <c r="C30" s="43" t="n">
        <v>0</v>
      </c>
      <c r="D30" s="43" t="n">
        <v>0</v>
      </c>
      <c r="E30" s="43" t="n">
        <v>0</v>
      </c>
    </row>
    <row r="31" customFormat="false" ht="23.85" hidden="false" customHeight="false" outlineLevel="0" collapsed="false">
      <c r="A31" s="40" t="s">
        <v>148</v>
      </c>
      <c r="B31" s="39" t="s">
        <v>136</v>
      </c>
      <c r="C31" s="43" t="n">
        <v>0</v>
      </c>
      <c r="D31" s="43" t="n">
        <v>0</v>
      </c>
      <c r="E31" s="43" t="n">
        <v>0</v>
      </c>
    </row>
    <row r="34" customFormat="false" ht="15" hidden="false" customHeight="false" outlineLevel="0" collapsed="false">
      <c r="A34" s="21" t="s">
        <v>149</v>
      </c>
    </row>
    <row r="35" customFormat="false" ht="15" hidden="false" customHeight="false" outlineLevel="0" collapsed="false">
      <c r="A35" s="44" t="s">
        <v>106</v>
      </c>
    </row>
    <row r="36" customFormat="false" ht="15" hidden="false" customHeight="false" outlineLevel="0" collapsed="false">
      <c r="A36" s="44" t="s">
        <v>109</v>
      </c>
    </row>
    <row r="37" customFormat="false" ht="15" hidden="false" customHeight="false" outlineLevel="0" collapsed="false">
      <c r="A37" s="44" t="s">
        <v>111</v>
      </c>
    </row>
    <row r="38" customFormat="false" ht="15" hidden="false" customHeight="false" outlineLevel="0" collapsed="false">
      <c r="A38" s="44" t="s">
        <v>114</v>
      </c>
    </row>
    <row r="39" customFormat="false" ht="15" hidden="false" customHeight="false" outlineLevel="0" collapsed="false">
      <c r="A39" s="44" t="s">
        <v>22</v>
      </c>
    </row>
    <row r="40" customFormat="false" ht="15" hidden="false" customHeight="false" outlineLevel="0" collapsed="false">
      <c r="A40" s="44" t="s">
        <v>127</v>
      </c>
    </row>
    <row r="41" customFormat="false" ht="15" hidden="false" customHeight="false" outlineLevel="0" collapsed="false">
      <c r="A41" s="44" t="s">
        <v>150</v>
      </c>
    </row>
    <row r="42" customFormat="false" ht="15" hidden="false" customHeight="false" outlineLevel="0" collapsed="false">
      <c r="A42" s="44" t="s">
        <v>151</v>
      </c>
    </row>
    <row r="43" customFormat="false" ht="15" hidden="false" customHeight="false" outlineLevel="0" collapsed="false">
      <c r="A43" s="44" t="s">
        <v>152</v>
      </c>
    </row>
    <row r="44" customFormat="false" ht="15" hidden="false" customHeight="false" outlineLevel="0" collapsed="false">
      <c r="A44" s="44" t="s">
        <v>153</v>
      </c>
    </row>
  </sheetData>
  <mergeCells count="3">
    <mergeCell ref="A1:G1"/>
    <mergeCell ref="A3:G3"/>
    <mergeCell ref="A18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154</v>
      </c>
      <c r="B1" s="1"/>
    </row>
    <row r="3" customFormat="false" ht="15" hidden="false" customHeight="false" outlineLevel="0" collapsed="false">
      <c r="A3" s="45"/>
    </row>
    <row r="4" customFormat="false" ht="15" hidden="false" customHeight="false" outlineLevel="0" collapsed="false">
      <c r="A4" s="46" t="s">
        <v>155</v>
      </c>
    </row>
    <row r="5" customFormat="false" ht="15" hidden="false" customHeight="false" outlineLevel="0" collapsed="false">
      <c r="A5" s="45" t="s">
        <v>156</v>
      </c>
    </row>
    <row r="6" customFormat="false" ht="15" hidden="false" customHeight="false" outlineLevel="0" collapsed="false">
      <c r="A6" s="45" t="s">
        <v>157</v>
      </c>
    </row>
    <row r="7" customFormat="false" ht="15" hidden="false" customHeight="false" outlineLevel="0" collapsed="false">
      <c r="A7" s="45"/>
    </row>
    <row r="8" customFormat="false" ht="15" hidden="false" customHeight="false" outlineLevel="0" collapsed="false">
      <c r="A8" s="46" t="s">
        <v>158</v>
      </c>
    </row>
    <row r="9" customFormat="false" ht="15" hidden="false" customHeight="false" outlineLevel="0" collapsed="false">
      <c r="A9" s="45" t="s">
        <v>159</v>
      </c>
    </row>
    <row r="10" customFormat="false" ht="15" hidden="false" customHeight="false" outlineLevel="0" collapsed="false">
      <c r="A10" s="45" t="s">
        <v>160</v>
      </c>
    </row>
    <row r="11" customFormat="false" ht="15" hidden="false" customHeight="false" outlineLevel="0" collapsed="false">
      <c r="A11" s="45" t="s">
        <v>161</v>
      </c>
    </row>
    <row r="12" customFormat="false" ht="15" hidden="false" customHeight="false" outlineLevel="0" collapsed="false">
      <c r="A12" s="45" t="s">
        <v>162</v>
      </c>
    </row>
    <row r="13" customFormat="false" ht="15" hidden="false" customHeight="false" outlineLevel="0" collapsed="false">
      <c r="A13" s="45" t="s">
        <v>163</v>
      </c>
    </row>
    <row r="14" customFormat="false" ht="15" hidden="false" customHeight="false" outlineLevel="0" collapsed="false">
      <c r="A14" s="45"/>
    </row>
    <row r="15" customFormat="false" ht="15" hidden="false" customHeight="false" outlineLevel="0" collapsed="false">
      <c r="A15" s="46" t="s">
        <v>164</v>
      </c>
    </row>
    <row r="16" customFormat="false" ht="15" hidden="false" customHeight="false" outlineLevel="0" collapsed="false">
      <c r="A16" s="45" t="s">
        <v>165</v>
      </c>
    </row>
    <row r="17" customFormat="false" ht="15" hidden="false" customHeight="false" outlineLevel="0" collapsed="false">
      <c r="A17" s="45" t="s">
        <v>166</v>
      </c>
    </row>
    <row r="18" customFormat="false" ht="15" hidden="false" customHeight="false" outlineLevel="0" collapsed="false">
      <c r="A18" s="45" t="s">
        <v>167</v>
      </c>
    </row>
    <row r="19" customFormat="false" ht="15" hidden="false" customHeight="false" outlineLevel="0" collapsed="false">
      <c r="A19" s="45" t="s">
        <v>168</v>
      </c>
    </row>
    <row r="20" customFormat="false" ht="15" hidden="false" customHeight="false" outlineLevel="0" collapsed="false">
      <c r="A20" s="45"/>
    </row>
    <row r="21" customFormat="false" ht="15" hidden="false" customHeight="false" outlineLevel="0" collapsed="false">
      <c r="A21" s="46" t="s">
        <v>169</v>
      </c>
    </row>
    <row r="22" customFormat="false" ht="15" hidden="false" customHeight="false" outlineLevel="0" collapsed="false">
      <c r="A22" s="45" t="s">
        <v>170</v>
      </c>
    </row>
    <row r="23" customFormat="false" ht="15" hidden="false" customHeight="false" outlineLevel="0" collapsed="false">
      <c r="A23" s="45" t="s">
        <v>171</v>
      </c>
    </row>
    <row r="24" customFormat="false" ht="15" hidden="false" customHeight="false" outlineLevel="0" collapsed="false">
      <c r="A24" s="45" t="s">
        <v>172</v>
      </c>
    </row>
    <row r="25" customFormat="false" ht="15" hidden="false" customHeight="false" outlineLevel="0" collapsed="false">
      <c r="A25" s="45" t="s">
        <v>173</v>
      </c>
    </row>
    <row r="26" customFormat="false" ht="15" hidden="false" customHeight="false" outlineLevel="0" collapsed="false">
      <c r="A26" s="45" t="s">
        <v>174</v>
      </c>
    </row>
    <row r="27" customFormat="false" ht="15" hidden="false" customHeight="false" outlineLevel="0" collapsed="false">
      <c r="A27" s="45"/>
    </row>
    <row r="28" customFormat="false" ht="15" hidden="false" customHeight="false" outlineLevel="0" collapsed="false">
      <c r="A28" s="46" t="s">
        <v>175</v>
      </c>
    </row>
    <row r="29" customFormat="false" ht="15" hidden="false" customHeight="false" outlineLevel="0" collapsed="false">
      <c r="A29" s="45" t="s">
        <v>176</v>
      </c>
    </row>
    <row r="30" customFormat="false" ht="15" hidden="false" customHeight="false" outlineLevel="0" collapsed="false">
      <c r="A30" s="45" t="s">
        <v>177</v>
      </c>
    </row>
    <row r="31" customFormat="false" ht="15" hidden="false" customHeight="false" outlineLevel="0" collapsed="false">
      <c r="A31" s="45"/>
    </row>
    <row r="32" customFormat="false" ht="15" hidden="false" customHeight="false" outlineLevel="0" collapsed="false">
      <c r="A32" s="46" t="s">
        <v>178</v>
      </c>
    </row>
    <row r="33" customFormat="false" ht="15" hidden="false" customHeight="false" outlineLevel="0" collapsed="false">
      <c r="A33" s="45" t="s">
        <v>179</v>
      </c>
    </row>
    <row r="34" customFormat="false" ht="15" hidden="false" customHeight="false" outlineLevel="0" collapsed="false">
      <c r="A34" s="45" t="s">
        <v>180</v>
      </c>
    </row>
    <row r="35" customFormat="false" ht="15" hidden="false" customHeight="false" outlineLevel="0" collapsed="false">
      <c r="A35" s="45" t="s">
        <v>181</v>
      </c>
    </row>
    <row r="36" customFormat="false" ht="15" hidden="false" customHeight="false" outlineLevel="0" collapsed="false">
      <c r="A36" s="45" t="s">
        <v>182</v>
      </c>
    </row>
    <row r="37" customFormat="false" ht="15" hidden="false" customHeight="false" outlineLevel="0" collapsed="false">
      <c r="A37" s="45"/>
    </row>
    <row r="38" customFormat="false" ht="15" hidden="false" customHeight="false" outlineLevel="0" collapsed="false">
      <c r="A38" s="46" t="s">
        <v>183</v>
      </c>
    </row>
    <row r="39" customFormat="false" ht="15" hidden="false" customHeight="false" outlineLevel="0" collapsed="false">
      <c r="A39" s="45" t="s">
        <v>184</v>
      </c>
    </row>
    <row r="40" customFormat="false" ht="15" hidden="false" customHeight="false" outlineLevel="0" collapsed="false">
      <c r="A40" s="45" t="s">
        <v>185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2026-09-19T09:39:47Z</dcterms:created>
  <dc:creator>openpyxl</dc:creator>
  <dc:description/>
  <dc:language>en-US</dc:language>
  <cp:lastModifiedBy/>
  <dcterms:modified xsi:type="dcterms:W3CDTF">2026-09-19T09:39:47Z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